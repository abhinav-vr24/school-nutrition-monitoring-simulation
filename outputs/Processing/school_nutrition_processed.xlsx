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ML DATA\Github\school-nutrition-monitoring-simulation\outputs\Processing\"/>
    </mc:Choice>
  </mc:AlternateContent>
  <xr:revisionPtr revIDLastSave="0" documentId="13_ncr:9_{C9EECFA0-05D7-4AAC-A3D6-C7D81F1DB070}" xr6:coauthVersionLast="47" xr6:coauthVersionMax="47" xr10:uidLastSave="{00000000-0000-0000-0000-000000000000}"/>
  <bookViews>
    <workbookView xWindow="-108" yWindow="-108" windowWidth="23256" windowHeight="13176" activeTab="1" xr2:uid="{E98F7D3B-44DB-4E0F-9DAF-C0C30ED2D0C5}"/>
  </bookViews>
  <sheets>
    <sheet name="school_nutrition_clean" sheetId="1" r:id="rId1"/>
    <sheet name="Validation_Check" sheetId="2" r:id="rId2"/>
    <sheet name="Derived_Indicators" sheetId="3" r:id="rId3"/>
  </sheets>
  <calcPr calcId="0"/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2" i="2"/>
</calcChain>
</file>

<file path=xl/sharedStrings.xml><?xml version="1.0" encoding="utf-8"?>
<sst xmlns="http://schemas.openxmlformats.org/spreadsheetml/2006/main" count="412" uniqueCount="88">
  <si>
    <t>District</t>
  </si>
  <si>
    <t>Block</t>
  </si>
  <si>
    <t>School_ID</t>
  </si>
  <si>
    <t>School_Name</t>
  </si>
  <si>
    <t>School_Type</t>
  </si>
  <si>
    <t>Reporting_Month</t>
  </si>
  <si>
    <t>Enrolment_Total</t>
  </si>
  <si>
    <t>Days_Meals_Planned</t>
  </si>
  <si>
    <t>Days_Meals_Served</t>
  </si>
  <si>
    <t>Meal_Coverage_Percent</t>
  </si>
  <si>
    <t>IFA_Distribution_Conducted</t>
  </si>
  <si>
    <t>Deworming_Conducted</t>
  </si>
  <si>
    <t>Monthly_Report_Submitted</t>
  </si>
  <si>
    <t>Data_Complete</t>
  </si>
  <si>
    <t>Meals_Exceed_Plan</t>
  </si>
  <si>
    <t>Report_Missing</t>
  </si>
  <si>
    <t>Invalid_Enrolment</t>
  </si>
  <si>
    <t>Sitapur</t>
  </si>
  <si>
    <t>Mahmudabad</t>
  </si>
  <si>
    <t>SCH001</t>
  </si>
  <si>
    <t>Government School 1</t>
  </si>
  <si>
    <t>Upper Primary</t>
  </si>
  <si>
    <t>2024-08</t>
  </si>
  <si>
    <t>No</t>
  </si>
  <si>
    <t>Yes</t>
  </si>
  <si>
    <t>SCH002</t>
  </si>
  <si>
    <t>Government School 2</t>
  </si>
  <si>
    <t>SCH003</t>
  </si>
  <si>
    <t>Government School 3</t>
  </si>
  <si>
    <t>SCH004</t>
  </si>
  <si>
    <t>Government School 4</t>
  </si>
  <si>
    <t>SCH005</t>
  </si>
  <si>
    <t>Government School 5</t>
  </si>
  <si>
    <t>SCH006</t>
  </si>
  <si>
    <t>Government School 6</t>
  </si>
  <si>
    <t>Primary</t>
  </si>
  <si>
    <t>SCH007</t>
  </si>
  <si>
    <t>Government School 7</t>
  </si>
  <si>
    <t>SCH008</t>
  </si>
  <si>
    <t>Government School 8</t>
  </si>
  <si>
    <t>SCH009</t>
  </si>
  <si>
    <t>Government School 9</t>
  </si>
  <si>
    <t>SCH010</t>
  </si>
  <si>
    <t>Government School 10</t>
  </si>
  <si>
    <t>Biswan</t>
  </si>
  <si>
    <t>SCH011</t>
  </si>
  <si>
    <t>Government School 11</t>
  </si>
  <si>
    <t>SCH012</t>
  </si>
  <si>
    <t>Government School 12</t>
  </si>
  <si>
    <t>SCH013</t>
  </si>
  <si>
    <t>Government School 13</t>
  </si>
  <si>
    <t>SCH014</t>
  </si>
  <si>
    <t>Government School 14</t>
  </si>
  <si>
    <t>SCH015</t>
  </si>
  <si>
    <t>Government School 15</t>
  </si>
  <si>
    <t>SCH016</t>
  </si>
  <si>
    <t>Government School 16</t>
  </si>
  <si>
    <t>SCH017</t>
  </si>
  <si>
    <t>Government School 17</t>
  </si>
  <si>
    <t>SCH018</t>
  </si>
  <si>
    <t>Government School 18</t>
  </si>
  <si>
    <t>SCH019</t>
  </si>
  <si>
    <t>Government School 19</t>
  </si>
  <si>
    <t>SCH020</t>
  </si>
  <si>
    <t>Government School 20</t>
  </si>
  <si>
    <t>Laharpur</t>
  </si>
  <si>
    <t>SCH021</t>
  </si>
  <si>
    <t>Government School 21</t>
  </si>
  <si>
    <t>SCH022</t>
  </si>
  <si>
    <t>Government School 22</t>
  </si>
  <si>
    <t>SCH023</t>
  </si>
  <si>
    <t>Government School 23</t>
  </si>
  <si>
    <t>SCH024</t>
  </si>
  <si>
    <t>Government School 24</t>
  </si>
  <si>
    <t>SCH025</t>
  </si>
  <si>
    <t>Government School 25</t>
  </si>
  <si>
    <t>SCH026</t>
  </si>
  <si>
    <t>Government School 26</t>
  </si>
  <si>
    <t>SCH027</t>
  </si>
  <si>
    <t>Government School 27</t>
  </si>
  <si>
    <t>SCH028</t>
  </si>
  <si>
    <t>Government School 28</t>
  </si>
  <si>
    <t>SCH029</t>
  </si>
  <si>
    <t>Government School 29</t>
  </si>
  <si>
    <t>SCH030</t>
  </si>
  <si>
    <t>Government School 30</t>
  </si>
  <si>
    <t>Meal_Coverage_(%)</t>
  </si>
  <si>
    <t>Follow_Up_Required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</si>
</sst>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B0E8-4D89-416E-A38E-A0C8DE6791AD}">
  <dimension ref="A1:Q31"/>
  <sheetViews>
    <sheetView workbookViewId="0">
      <selection activeCell="R1" sqref="R1"/>
    </sheetView>
  </sheetViews>
  <sheetFormatPr defaultRowHeight="14.4" x14ac:dyDescent="0.3"/>
  <cols>
    <col min="12" max="12" width="20.33203125" bestFit="1" customWidth="1"/>
    <col min="13" max="13" width="23.88671875" bestFit="1" customWidth="1"/>
    <col min="14" max="14" width="13.88671875" bestFit="1" customWidth="1"/>
    <col min="15" max="15" width="17.33203125" bestFit="1" customWidth="1"/>
    <col min="16" max="16" width="13.6640625" bestFit="1" customWidth="1"/>
    <col min="17" max="17" width="15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115</v>
      </c>
      <c r="H2">
        <v>19</v>
      </c>
      <c r="I2">
        <v>15</v>
      </c>
      <c r="J2">
        <v>78.900000000000006</v>
      </c>
      <c r="K2" t="s">
        <v>23</v>
      </c>
      <c r="L2" t="s">
        <v>24</v>
      </c>
      <c r="M2" t="s">
        <v>23</v>
      </c>
      <c r="N2" t="s">
        <v>24</v>
      </c>
      <c r="O2" t="s">
        <v>23</v>
      </c>
      <c r="P2" t="s">
        <v>24</v>
      </c>
      <c r="Q2" t="s">
        <v>23</v>
      </c>
    </row>
    <row r="3" spans="1:17" x14ac:dyDescent="0.3">
      <c r="A3" t="s">
        <v>17</v>
      </c>
      <c r="B3" t="s">
        <v>18</v>
      </c>
      <c r="C3" t="s">
        <v>25</v>
      </c>
      <c r="D3" t="s">
        <v>26</v>
      </c>
      <c r="E3" t="s">
        <v>21</v>
      </c>
      <c r="F3" t="s">
        <v>22</v>
      </c>
      <c r="G3">
        <v>96</v>
      </c>
      <c r="H3">
        <v>22</v>
      </c>
      <c r="I3">
        <v>20</v>
      </c>
      <c r="J3">
        <v>90.9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24</v>
      </c>
      <c r="Q3" t="s">
        <v>23</v>
      </c>
    </row>
    <row r="4" spans="1:17" x14ac:dyDescent="0.3">
      <c r="A4" t="s">
        <v>17</v>
      </c>
      <c r="B4" t="s">
        <v>18</v>
      </c>
      <c r="C4" t="s">
        <v>27</v>
      </c>
      <c r="D4" t="s">
        <v>28</v>
      </c>
      <c r="E4" t="s">
        <v>21</v>
      </c>
      <c r="F4" t="s">
        <v>22</v>
      </c>
      <c r="G4">
        <v>101</v>
      </c>
      <c r="H4">
        <v>19</v>
      </c>
      <c r="I4">
        <v>15</v>
      </c>
      <c r="J4">
        <v>78.900000000000006</v>
      </c>
      <c r="K4" t="s">
        <v>24</v>
      </c>
      <c r="L4" t="s">
        <v>24</v>
      </c>
      <c r="M4" t="s">
        <v>23</v>
      </c>
      <c r="N4" t="s">
        <v>24</v>
      </c>
      <c r="O4" t="s">
        <v>23</v>
      </c>
      <c r="P4" t="s">
        <v>24</v>
      </c>
      <c r="Q4" t="s">
        <v>23</v>
      </c>
    </row>
    <row r="5" spans="1:17" x14ac:dyDescent="0.3">
      <c r="A5" t="s">
        <v>17</v>
      </c>
      <c r="B5" t="s">
        <v>18</v>
      </c>
      <c r="C5" t="s">
        <v>29</v>
      </c>
      <c r="D5" t="s">
        <v>30</v>
      </c>
      <c r="E5" t="s">
        <v>21</v>
      </c>
      <c r="F5" t="s">
        <v>22</v>
      </c>
      <c r="G5">
        <v>198</v>
      </c>
      <c r="H5">
        <v>22</v>
      </c>
      <c r="I5">
        <v>21</v>
      </c>
      <c r="J5">
        <v>95.5</v>
      </c>
      <c r="K5" t="s">
        <v>23</v>
      </c>
      <c r="L5" t="s">
        <v>24</v>
      </c>
      <c r="M5" t="s">
        <v>23</v>
      </c>
      <c r="N5" t="s">
        <v>24</v>
      </c>
      <c r="O5" t="s">
        <v>23</v>
      </c>
      <c r="P5" t="s">
        <v>24</v>
      </c>
      <c r="Q5" t="s">
        <v>23</v>
      </c>
    </row>
    <row r="6" spans="1:17" x14ac:dyDescent="0.3">
      <c r="A6" t="s">
        <v>17</v>
      </c>
      <c r="B6" t="s">
        <v>18</v>
      </c>
      <c r="C6" t="s">
        <v>31</v>
      </c>
      <c r="D6" t="s">
        <v>32</v>
      </c>
      <c r="E6" t="s">
        <v>21</v>
      </c>
      <c r="F6" t="s">
        <v>22</v>
      </c>
      <c r="G6">
        <v>206</v>
      </c>
      <c r="H6">
        <v>20</v>
      </c>
      <c r="I6">
        <v>17</v>
      </c>
      <c r="J6">
        <v>85</v>
      </c>
      <c r="K6" t="s">
        <v>23</v>
      </c>
      <c r="L6" t="s">
        <v>24</v>
      </c>
      <c r="M6" t="s">
        <v>24</v>
      </c>
      <c r="N6" t="s">
        <v>23</v>
      </c>
      <c r="O6" t="s">
        <v>23</v>
      </c>
      <c r="P6" t="s">
        <v>23</v>
      </c>
      <c r="Q6" t="s">
        <v>23</v>
      </c>
    </row>
    <row r="7" spans="1:17" x14ac:dyDescent="0.3">
      <c r="A7" t="s">
        <v>17</v>
      </c>
      <c r="B7" t="s">
        <v>18</v>
      </c>
      <c r="C7" t="s">
        <v>33</v>
      </c>
      <c r="D7" t="s">
        <v>34</v>
      </c>
      <c r="E7" t="s">
        <v>35</v>
      </c>
      <c r="F7" t="s">
        <v>22</v>
      </c>
      <c r="G7">
        <v>73</v>
      </c>
      <c r="H7">
        <v>19</v>
      </c>
      <c r="I7">
        <v>19</v>
      </c>
      <c r="J7">
        <v>100</v>
      </c>
      <c r="K7" t="s">
        <v>23</v>
      </c>
      <c r="L7" t="s">
        <v>24</v>
      </c>
      <c r="M7" t="s">
        <v>24</v>
      </c>
      <c r="N7" t="s">
        <v>23</v>
      </c>
      <c r="O7" t="s">
        <v>23</v>
      </c>
      <c r="P7" t="s">
        <v>23</v>
      </c>
      <c r="Q7" t="s">
        <v>23</v>
      </c>
    </row>
    <row r="8" spans="1:17" x14ac:dyDescent="0.3">
      <c r="A8" t="s">
        <v>17</v>
      </c>
      <c r="B8" t="s">
        <v>18</v>
      </c>
      <c r="C8" t="s">
        <v>36</v>
      </c>
      <c r="D8" t="s">
        <v>37</v>
      </c>
      <c r="E8" t="s">
        <v>21</v>
      </c>
      <c r="F8" t="s">
        <v>22</v>
      </c>
      <c r="G8">
        <v>162</v>
      </c>
      <c r="H8">
        <v>20</v>
      </c>
      <c r="I8">
        <v>19</v>
      </c>
      <c r="J8">
        <v>95</v>
      </c>
      <c r="K8" t="s">
        <v>23</v>
      </c>
      <c r="L8" t="s">
        <v>24</v>
      </c>
      <c r="M8" t="s">
        <v>23</v>
      </c>
      <c r="N8" t="s">
        <v>23</v>
      </c>
      <c r="O8" t="s">
        <v>23</v>
      </c>
      <c r="P8" t="s">
        <v>24</v>
      </c>
      <c r="Q8" t="s">
        <v>23</v>
      </c>
    </row>
    <row r="9" spans="1:17" x14ac:dyDescent="0.3">
      <c r="A9" t="s">
        <v>17</v>
      </c>
      <c r="B9" t="s">
        <v>18</v>
      </c>
      <c r="C9" t="s">
        <v>38</v>
      </c>
      <c r="D9" t="s">
        <v>39</v>
      </c>
      <c r="E9" t="s">
        <v>35</v>
      </c>
      <c r="F9" t="s">
        <v>22</v>
      </c>
      <c r="G9">
        <v>125</v>
      </c>
      <c r="H9">
        <v>22</v>
      </c>
      <c r="I9">
        <v>19</v>
      </c>
      <c r="J9">
        <v>86.4</v>
      </c>
      <c r="K9" t="s">
        <v>24</v>
      </c>
      <c r="L9" t="s">
        <v>23</v>
      </c>
      <c r="M9" t="s">
        <v>24</v>
      </c>
      <c r="N9" t="s">
        <v>23</v>
      </c>
      <c r="O9" t="s">
        <v>23</v>
      </c>
      <c r="P9" t="s">
        <v>23</v>
      </c>
      <c r="Q9" t="s">
        <v>23</v>
      </c>
    </row>
    <row r="10" spans="1:17" x14ac:dyDescent="0.3">
      <c r="A10" t="s">
        <v>17</v>
      </c>
      <c r="B10" t="s">
        <v>18</v>
      </c>
      <c r="C10" t="s">
        <v>40</v>
      </c>
      <c r="D10" t="s">
        <v>41</v>
      </c>
      <c r="E10" t="s">
        <v>35</v>
      </c>
      <c r="F10" t="s">
        <v>22</v>
      </c>
      <c r="G10">
        <v>126</v>
      </c>
      <c r="H10">
        <v>19</v>
      </c>
      <c r="I10">
        <v>19</v>
      </c>
      <c r="J10">
        <v>100</v>
      </c>
      <c r="K10" t="s">
        <v>24</v>
      </c>
      <c r="L10" t="s">
        <v>24</v>
      </c>
      <c r="M10" t="s">
        <v>23</v>
      </c>
      <c r="N10" t="s">
        <v>23</v>
      </c>
      <c r="O10" t="s">
        <v>23</v>
      </c>
      <c r="P10" t="s">
        <v>24</v>
      </c>
      <c r="Q10" t="s">
        <v>23</v>
      </c>
    </row>
    <row r="11" spans="1:17" x14ac:dyDescent="0.3">
      <c r="A11" t="s">
        <v>17</v>
      </c>
      <c r="B11" t="s">
        <v>18</v>
      </c>
      <c r="C11" t="s">
        <v>42</v>
      </c>
      <c r="D11" t="s">
        <v>43</v>
      </c>
      <c r="E11" t="s">
        <v>35</v>
      </c>
      <c r="F11" t="s">
        <v>22</v>
      </c>
      <c r="G11">
        <v>110</v>
      </c>
      <c r="H11">
        <v>20</v>
      </c>
      <c r="I11">
        <v>16</v>
      </c>
      <c r="J11">
        <v>80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24</v>
      </c>
      <c r="Q11" t="s">
        <v>23</v>
      </c>
    </row>
    <row r="12" spans="1:17" x14ac:dyDescent="0.3">
      <c r="A12" t="s">
        <v>17</v>
      </c>
      <c r="B12" t="s">
        <v>44</v>
      </c>
      <c r="C12" t="s">
        <v>45</v>
      </c>
      <c r="D12" t="s">
        <v>46</v>
      </c>
      <c r="E12" t="s">
        <v>21</v>
      </c>
      <c r="F12" t="s">
        <v>22</v>
      </c>
      <c r="G12">
        <v>78</v>
      </c>
      <c r="H12">
        <v>18</v>
      </c>
      <c r="I12">
        <v>18</v>
      </c>
      <c r="J12">
        <v>100</v>
      </c>
      <c r="K12" t="s">
        <v>23</v>
      </c>
      <c r="L12" t="s">
        <v>23</v>
      </c>
      <c r="M12" t="s">
        <v>24</v>
      </c>
      <c r="N12" t="s">
        <v>24</v>
      </c>
      <c r="O12" t="s">
        <v>23</v>
      </c>
      <c r="P12" t="s">
        <v>23</v>
      </c>
      <c r="Q12" t="s">
        <v>23</v>
      </c>
    </row>
    <row r="13" spans="1:17" x14ac:dyDescent="0.3">
      <c r="A13" t="s">
        <v>17</v>
      </c>
      <c r="B13" t="s">
        <v>44</v>
      </c>
      <c r="C13" t="s">
        <v>47</v>
      </c>
      <c r="D13" t="s">
        <v>48</v>
      </c>
      <c r="E13" t="s">
        <v>21</v>
      </c>
      <c r="F13" t="s">
        <v>22</v>
      </c>
      <c r="G13">
        <v>214</v>
      </c>
      <c r="H13">
        <v>18</v>
      </c>
      <c r="I13">
        <v>17</v>
      </c>
      <c r="J13">
        <v>94.4</v>
      </c>
      <c r="K13" t="s">
        <v>23</v>
      </c>
      <c r="L13" t="s">
        <v>24</v>
      </c>
      <c r="M13" t="s">
        <v>24</v>
      </c>
      <c r="N13" t="s">
        <v>23</v>
      </c>
      <c r="O13" t="s">
        <v>23</v>
      </c>
      <c r="P13" t="s">
        <v>23</v>
      </c>
      <c r="Q13" t="s">
        <v>23</v>
      </c>
    </row>
    <row r="14" spans="1:17" x14ac:dyDescent="0.3">
      <c r="A14" t="s">
        <v>17</v>
      </c>
      <c r="B14" t="s">
        <v>44</v>
      </c>
      <c r="C14" t="s">
        <v>49</v>
      </c>
      <c r="D14" t="s">
        <v>50</v>
      </c>
      <c r="E14" t="s">
        <v>35</v>
      </c>
      <c r="F14" t="s">
        <v>22</v>
      </c>
      <c r="G14">
        <v>80</v>
      </c>
      <c r="H14">
        <v>18</v>
      </c>
      <c r="I14">
        <v>18</v>
      </c>
      <c r="J14">
        <v>100</v>
      </c>
      <c r="K14" t="s">
        <v>23</v>
      </c>
      <c r="L14" t="s">
        <v>24</v>
      </c>
      <c r="M14" t="s">
        <v>23</v>
      </c>
      <c r="N14" t="s">
        <v>24</v>
      </c>
      <c r="O14" t="s">
        <v>23</v>
      </c>
      <c r="P14" t="s">
        <v>24</v>
      </c>
      <c r="Q14" t="s">
        <v>23</v>
      </c>
    </row>
    <row r="15" spans="1:17" x14ac:dyDescent="0.3">
      <c r="A15" t="s">
        <v>17</v>
      </c>
      <c r="B15" t="s">
        <v>44</v>
      </c>
      <c r="C15" t="s">
        <v>51</v>
      </c>
      <c r="D15" t="s">
        <v>52</v>
      </c>
      <c r="E15" t="s">
        <v>35</v>
      </c>
      <c r="F15" t="s">
        <v>22</v>
      </c>
      <c r="G15">
        <v>181</v>
      </c>
      <c r="H15">
        <v>22</v>
      </c>
      <c r="I15">
        <v>21</v>
      </c>
      <c r="J15">
        <v>95.5</v>
      </c>
      <c r="K15" t="s">
        <v>24</v>
      </c>
      <c r="L15" t="s">
        <v>24</v>
      </c>
      <c r="M15" t="s">
        <v>23</v>
      </c>
      <c r="N15" t="s">
        <v>24</v>
      </c>
      <c r="O15" t="s">
        <v>23</v>
      </c>
      <c r="P15" t="s">
        <v>24</v>
      </c>
      <c r="Q15" t="s">
        <v>23</v>
      </c>
    </row>
    <row r="16" spans="1:17" x14ac:dyDescent="0.3">
      <c r="A16" t="s">
        <v>17</v>
      </c>
      <c r="B16" t="s">
        <v>44</v>
      </c>
      <c r="C16" t="s">
        <v>53</v>
      </c>
      <c r="D16" t="s">
        <v>54</v>
      </c>
      <c r="E16" t="s">
        <v>35</v>
      </c>
      <c r="F16" t="s">
        <v>22</v>
      </c>
      <c r="G16">
        <v>198</v>
      </c>
      <c r="H16">
        <v>18</v>
      </c>
      <c r="I16">
        <v>13</v>
      </c>
      <c r="J16">
        <v>72.2</v>
      </c>
      <c r="K16" t="s">
        <v>24</v>
      </c>
      <c r="L16" t="s">
        <v>24</v>
      </c>
      <c r="M16" t="s">
        <v>24</v>
      </c>
      <c r="N16" t="s">
        <v>24</v>
      </c>
      <c r="O16" t="s">
        <v>23</v>
      </c>
      <c r="P16" t="s">
        <v>23</v>
      </c>
      <c r="Q16" t="s">
        <v>23</v>
      </c>
    </row>
    <row r="17" spans="1:17" x14ac:dyDescent="0.3">
      <c r="A17" t="s">
        <v>17</v>
      </c>
      <c r="B17" t="s">
        <v>44</v>
      </c>
      <c r="C17" t="s">
        <v>55</v>
      </c>
      <c r="D17" t="s">
        <v>56</v>
      </c>
      <c r="E17" t="s">
        <v>35</v>
      </c>
      <c r="F17" t="s">
        <v>22</v>
      </c>
      <c r="G17">
        <v>207</v>
      </c>
      <c r="H17">
        <v>19</v>
      </c>
      <c r="I17">
        <v>14</v>
      </c>
      <c r="J17">
        <v>73.7</v>
      </c>
      <c r="K17" t="s">
        <v>23</v>
      </c>
      <c r="L17" t="s">
        <v>24</v>
      </c>
      <c r="M17" t="s">
        <v>24</v>
      </c>
      <c r="N17" t="s">
        <v>23</v>
      </c>
      <c r="O17" t="s">
        <v>23</v>
      </c>
      <c r="P17" t="s">
        <v>23</v>
      </c>
      <c r="Q17" t="s">
        <v>23</v>
      </c>
    </row>
    <row r="18" spans="1:17" x14ac:dyDescent="0.3">
      <c r="A18" t="s">
        <v>17</v>
      </c>
      <c r="B18" t="s">
        <v>44</v>
      </c>
      <c r="C18" t="s">
        <v>57</v>
      </c>
      <c r="D18" t="s">
        <v>58</v>
      </c>
      <c r="E18" t="s">
        <v>35</v>
      </c>
      <c r="F18" t="s">
        <v>22</v>
      </c>
      <c r="G18">
        <v>202</v>
      </c>
      <c r="H18">
        <v>21</v>
      </c>
      <c r="I18">
        <v>19</v>
      </c>
      <c r="J18">
        <v>90.5</v>
      </c>
      <c r="K18" t="s">
        <v>23</v>
      </c>
      <c r="L18" t="s">
        <v>23</v>
      </c>
      <c r="M18" t="s">
        <v>24</v>
      </c>
      <c r="N18" t="s">
        <v>23</v>
      </c>
      <c r="O18" t="s">
        <v>23</v>
      </c>
      <c r="P18" t="s">
        <v>23</v>
      </c>
      <c r="Q18" t="s">
        <v>23</v>
      </c>
    </row>
    <row r="19" spans="1:17" x14ac:dyDescent="0.3">
      <c r="A19" t="s">
        <v>17</v>
      </c>
      <c r="B19" t="s">
        <v>44</v>
      </c>
      <c r="C19" t="s">
        <v>59</v>
      </c>
      <c r="D19" t="s">
        <v>60</v>
      </c>
      <c r="E19" t="s">
        <v>35</v>
      </c>
      <c r="F19" t="s">
        <v>22</v>
      </c>
      <c r="G19">
        <v>180</v>
      </c>
      <c r="H19">
        <v>19</v>
      </c>
      <c r="I19">
        <v>19</v>
      </c>
      <c r="J19">
        <v>100</v>
      </c>
      <c r="K19" t="s">
        <v>24</v>
      </c>
      <c r="L19" t="s">
        <v>23</v>
      </c>
      <c r="M19" t="s">
        <v>23</v>
      </c>
      <c r="N19" t="s">
        <v>23</v>
      </c>
      <c r="O19" t="s">
        <v>23</v>
      </c>
      <c r="P19" t="s">
        <v>24</v>
      </c>
      <c r="Q19" t="s">
        <v>23</v>
      </c>
    </row>
    <row r="20" spans="1:17" x14ac:dyDescent="0.3">
      <c r="A20" t="s">
        <v>17</v>
      </c>
      <c r="B20" t="s">
        <v>44</v>
      </c>
      <c r="C20" t="s">
        <v>61</v>
      </c>
      <c r="D20" t="s">
        <v>62</v>
      </c>
      <c r="E20" t="s">
        <v>21</v>
      </c>
      <c r="F20" t="s">
        <v>22</v>
      </c>
      <c r="G20">
        <v>115</v>
      </c>
      <c r="H20">
        <v>22</v>
      </c>
      <c r="I20">
        <v>21</v>
      </c>
      <c r="J20">
        <v>95.5</v>
      </c>
      <c r="K20" t="s">
        <v>23</v>
      </c>
      <c r="L20" t="s">
        <v>24</v>
      </c>
      <c r="M20" t="s">
        <v>24</v>
      </c>
      <c r="N20" t="s">
        <v>24</v>
      </c>
      <c r="O20" t="s">
        <v>23</v>
      </c>
      <c r="P20" t="s">
        <v>23</v>
      </c>
      <c r="Q20" t="s">
        <v>23</v>
      </c>
    </row>
    <row r="21" spans="1:17" x14ac:dyDescent="0.3">
      <c r="A21" t="s">
        <v>17</v>
      </c>
      <c r="B21" t="s">
        <v>44</v>
      </c>
      <c r="C21" t="s">
        <v>63</v>
      </c>
      <c r="D21" t="s">
        <v>64</v>
      </c>
      <c r="E21" t="s">
        <v>21</v>
      </c>
      <c r="F21" t="s">
        <v>22</v>
      </c>
      <c r="G21">
        <v>128</v>
      </c>
      <c r="H21">
        <v>21</v>
      </c>
      <c r="I21">
        <v>17</v>
      </c>
      <c r="J21">
        <v>81</v>
      </c>
      <c r="K21" t="s">
        <v>24</v>
      </c>
      <c r="L21" t="s">
        <v>24</v>
      </c>
      <c r="M21" t="s">
        <v>24</v>
      </c>
      <c r="N21" t="s">
        <v>23</v>
      </c>
      <c r="O21" t="s">
        <v>23</v>
      </c>
      <c r="P21" t="s">
        <v>23</v>
      </c>
      <c r="Q21" t="s">
        <v>23</v>
      </c>
    </row>
    <row r="22" spans="1:17" x14ac:dyDescent="0.3">
      <c r="A22" t="s">
        <v>17</v>
      </c>
      <c r="B22" t="s">
        <v>65</v>
      </c>
      <c r="C22" t="s">
        <v>66</v>
      </c>
      <c r="D22" t="s">
        <v>67</v>
      </c>
      <c r="E22" t="s">
        <v>21</v>
      </c>
      <c r="F22" t="s">
        <v>22</v>
      </c>
      <c r="G22">
        <v>140</v>
      </c>
      <c r="H22">
        <v>22</v>
      </c>
      <c r="I22">
        <v>21</v>
      </c>
      <c r="J22">
        <v>95.5</v>
      </c>
      <c r="K22" t="s">
        <v>23</v>
      </c>
      <c r="L22" t="s">
        <v>23</v>
      </c>
      <c r="M22" t="s">
        <v>24</v>
      </c>
      <c r="N22" t="s">
        <v>23</v>
      </c>
      <c r="O22" t="s">
        <v>23</v>
      </c>
      <c r="P22" t="s">
        <v>23</v>
      </c>
      <c r="Q22" t="s">
        <v>23</v>
      </c>
    </row>
    <row r="23" spans="1:17" x14ac:dyDescent="0.3">
      <c r="A23" t="s">
        <v>17</v>
      </c>
      <c r="B23" t="s">
        <v>65</v>
      </c>
      <c r="C23" t="s">
        <v>68</v>
      </c>
      <c r="D23" t="s">
        <v>69</v>
      </c>
      <c r="E23" t="s">
        <v>35</v>
      </c>
      <c r="F23" t="s">
        <v>22</v>
      </c>
      <c r="G23">
        <v>68</v>
      </c>
      <c r="H23">
        <v>20</v>
      </c>
      <c r="I23">
        <v>15</v>
      </c>
      <c r="J23">
        <v>75</v>
      </c>
      <c r="K23" t="s">
        <v>23</v>
      </c>
      <c r="L23" t="s">
        <v>24</v>
      </c>
      <c r="M23" t="s">
        <v>23</v>
      </c>
      <c r="N23" t="s">
        <v>23</v>
      </c>
      <c r="O23" t="s">
        <v>23</v>
      </c>
      <c r="P23" t="s">
        <v>24</v>
      </c>
      <c r="Q23" t="s">
        <v>23</v>
      </c>
    </row>
    <row r="24" spans="1:17" x14ac:dyDescent="0.3">
      <c r="A24" t="s">
        <v>17</v>
      </c>
      <c r="B24" t="s">
        <v>65</v>
      </c>
      <c r="C24" t="s">
        <v>70</v>
      </c>
      <c r="D24" t="s">
        <v>71</v>
      </c>
      <c r="E24" t="s">
        <v>21</v>
      </c>
      <c r="F24" t="s">
        <v>22</v>
      </c>
      <c r="G24">
        <v>140</v>
      </c>
      <c r="H24">
        <v>19</v>
      </c>
      <c r="I24">
        <v>16</v>
      </c>
      <c r="J24">
        <v>84.2</v>
      </c>
      <c r="K24" t="s">
        <v>24</v>
      </c>
      <c r="L24" t="s">
        <v>23</v>
      </c>
      <c r="M24" t="s">
        <v>24</v>
      </c>
      <c r="N24" t="s">
        <v>23</v>
      </c>
      <c r="O24" t="s">
        <v>23</v>
      </c>
      <c r="P24" t="s">
        <v>23</v>
      </c>
      <c r="Q24" t="s">
        <v>23</v>
      </c>
    </row>
    <row r="25" spans="1:17" x14ac:dyDescent="0.3">
      <c r="A25" t="s">
        <v>17</v>
      </c>
      <c r="B25" t="s">
        <v>65</v>
      </c>
      <c r="C25" t="s">
        <v>72</v>
      </c>
      <c r="D25" t="s">
        <v>73</v>
      </c>
      <c r="E25" t="s">
        <v>35</v>
      </c>
      <c r="F25" t="s">
        <v>22</v>
      </c>
      <c r="G25">
        <v>154</v>
      </c>
      <c r="H25">
        <v>18</v>
      </c>
      <c r="I25">
        <v>17</v>
      </c>
      <c r="J25">
        <v>94.4</v>
      </c>
      <c r="K25" t="s">
        <v>24</v>
      </c>
      <c r="L25" t="s">
        <v>24</v>
      </c>
      <c r="M25" t="s">
        <v>23</v>
      </c>
      <c r="N25" t="s">
        <v>23</v>
      </c>
      <c r="O25" t="s">
        <v>23</v>
      </c>
      <c r="P25" t="s">
        <v>24</v>
      </c>
      <c r="Q25" t="s">
        <v>23</v>
      </c>
    </row>
    <row r="26" spans="1:17" x14ac:dyDescent="0.3">
      <c r="A26" t="s">
        <v>17</v>
      </c>
      <c r="B26" t="s">
        <v>65</v>
      </c>
      <c r="C26" t="s">
        <v>74</v>
      </c>
      <c r="D26" t="s">
        <v>75</v>
      </c>
      <c r="E26" t="s">
        <v>21</v>
      </c>
      <c r="F26" t="s">
        <v>22</v>
      </c>
      <c r="G26">
        <v>117</v>
      </c>
      <c r="H26">
        <v>20</v>
      </c>
      <c r="I26">
        <v>19</v>
      </c>
      <c r="J26">
        <v>95</v>
      </c>
      <c r="K26" t="s">
        <v>24</v>
      </c>
      <c r="L26" t="s">
        <v>23</v>
      </c>
      <c r="M26" t="s">
        <v>24</v>
      </c>
      <c r="N26" t="s">
        <v>24</v>
      </c>
      <c r="O26" t="s">
        <v>23</v>
      </c>
      <c r="P26" t="s">
        <v>23</v>
      </c>
      <c r="Q26" t="s">
        <v>23</v>
      </c>
    </row>
    <row r="27" spans="1:17" x14ac:dyDescent="0.3">
      <c r="A27" t="s">
        <v>17</v>
      </c>
      <c r="B27" t="s">
        <v>65</v>
      </c>
      <c r="C27" t="s">
        <v>76</v>
      </c>
      <c r="D27" t="s">
        <v>77</v>
      </c>
      <c r="E27" t="s">
        <v>21</v>
      </c>
      <c r="F27" t="s">
        <v>22</v>
      </c>
      <c r="G27">
        <v>123</v>
      </c>
      <c r="H27">
        <v>18</v>
      </c>
      <c r="I27">
        <v>14</v>
      </c>
      <c r="J27">
        <v>77.8</v>
      </c>
      <c r="K27" t="s">
        <v>23</v>
      </c>
      <c r="L27" t="s">
        <v>24</v>
      </c>
      <c r="M27" t="s">
        <v>23</v>
      </c>
      <c r="N27" t="s">
        <v>24</v>
      </c>
      <c r="O27" t="s">
        <v>23</v>
      </c>
      <c r="P27" t="s">
        <v>24</v>
      </c>
      <c r="Q27" t="s">
        <v>23</v>
      </c>
    </row>
    <row r="28" spans="1:17" x14ac:dyDescent="0.3">
      <c r="A28" t="s">
        <v>17</v>
      </c>
      <c r="B28" t="s">
        <v>65</v>
      </c>
      <c r="C28" t="s">
        <v>78</v>
      </c>
      <c r="D28" t="s">
        <v>79</v>
      </c>
      <c r="E28" t="s">
        <v>21</v>
      </c>
      <c r="F28" t="s">
        <v>22</v>
      </c>
      <c r="G28">
        <v>136</v>
      </c>
      <c r="H28">
        <v>21</v>
      </c>
      <c r="I28">
        <v>16</v>
      </c>
      <c r="J28">
        <v>76.2</v>
      </c>
      <c r="K28" t="s">
        <v>23</v>
      </c>
      <c r="L28" t="s">
        <v>24</v>
      </c>
      <c r="M28" t="s">
        <v>23</v>
      </c>
      <c r="N28" t="s">
        <v>24</v>
      </c>
      <c r="O28" t="s">
        <v>23</v>
      </c>
      <c r="P28" t="s">
        <v>24</v>
      </c>
      <c r="Q28" t="s">
        <v>23</v>
      </c>
    </row>
    <row r="29" spans="1:17" x14ac:dyDescent="0.3">
      <c r="A29" t="s">
        <v>17</v>
      </c>
      <c r="B29" t="s">
        <v>65</v>
      </c>
      <c r="C29" t="s">
        <v>80</v>
      </c>
      <c r="D29" t="s">
        <v>81</v>
      </c>
      <c r="E29" t="s">
        <v>21</v>
      </c>
      <c r="F29" t="s">
        <v>22</v>
      </c>
      <c r="G29">
        <v>100</v>
      </c>
      <c r="H29">
        <v>19</v>
      </c>
      <c r="I29">
        <v>15</v>
      </c>
      <c r="J29">
        <v>78.900000000000006</v>
      </c>
      <c r="K29" t="s">
        <v>23</v>
      </c>
      <c r="L29" t="s">
        <v>24</v>
      </c>
      <c r="M29" t="s">
        <v>23</v>
      </c>
      <c r="N29" t="s">
        <v>23</v>
      </c>
      <c r="O29" t="s">
        <v>23</v>
      </c>
      <c r="P29" t="s">
        <v>24</v>
      </c>
      <c r="Q29" t="s">
        <v>23</v>
      </c>
    </row>
    <row r="30" spans="1:17" x14ac:dyDescent="0.3">
      <c r="A30" t="s">
        <v>17</v>
      </c>
      <c r="B30" t="s">
        <v>65</v>
      </c>
      <c r="C30" t="s">
        <v>82</v>
      </c>
      <c r="D30" t="s">
        <v>83</v>
      </c>
      <c r="E30" t="s">
        <v>35</v>
      </c>
      <c r="F30" t="s">
        <v>22</v>
      </c>
      <c r="G30">
        <v>105</v>
      </c>
      <c r="H30">
        <v>18</v>
      </c>
      <c r="I30">
        <v>13</v>
      </c>
      <c r="J30">
        <v>72.2</v>
      </c>
      <c r="K30" t="s">
        <v>24</v>
      </c>
      <c r="L30" t="s">
        <v>23</v>
      </c>
      <c r="M30" t="s">
        <v>23</v>
      </c>
      <c r="N30" t="s">
        <v>24</v>
      </c>
      <c r="O30" t="s">
        <v>23</v>
      </c>
      <c r="P30" t="s">
        <v>24</v>
      </c>
      <c r="Q30" t="s">
        <v>23</v>
      </c>
    </row>
    <row r="31" spans="1:17" x14ac:dyDescent="0.3">
      <c r="A31" t="s">
        <v>17</v>
      </c>
      <c r="B31" t="s">
        <v>65</v>
      </c>
      <c r="C31" t="s">
        <v>84</v>
      </c>
      <c r="D31" t="s">
        <v>85</v>
      </c>
      <c r="E31" t="s">
        <v>35</v>
      </c>
      <c r="F31" t="s">
        <v>22</v>
      </c>
      <c r="G31">
        <v>105</v>
      </c>
      <c r="H31">
        <v>21</v>
      </c>
      <c r="I31">
        <v>18</v>
      </c>
      <c r="J31">
        <v>85.7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23</v>
      </c>
      <c r="Q3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3791-E8FE-4BE1-A2DD-8BF095ADA015}">
  <dimension ref="A1:C31"/>
  <sheetViews>
    <sheetView tabSelected="1" workbookViewId="0">
      <selection activeCell="C2" sqref="C2:C31"/>
    </sheetView>
  </sheetViews>
  <sheetFormatPr defaultRowHeight="14.4" x14ac:dyDescent="0.3"/>
  <cols>
    <col min="1" max="1" width="17.33203125" bestFit="1" customWidth="1"/>
    <col min="2" max="2" width="13.6640625" bestFit="1" customWidth="1"/>
    <col min="3" max="3" width="15.88671875" bestFit="1" customWidth="1"/>
  </cols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 t="str">
        <f>IF(school_nutrition_clean!I2 &gt; school_nutrition_clean!H2, "Yes", "No")</f>
        <v>No</v>
      </c>
      <c r="B2" t="str">
        <f>IF(school_nutrition_clean!M2="No","Yes","No")</f>
        <v>Yes</v>
      </c>
      <c r="C2" t="str">
        <f>IF(school_nutrition_clean!G2&lt;=0,"Yes","No")</f>
        <v>No</v>
      </c>
    </row>
    <row r="3" spans="1:3" x14ac:dyDescent="0.3">
      <c r="A3" t="str">
        <f>IF(school_nutrition_clean!I3 &gt; school_nutrition_clean!H3, "Yes", "No")</f>
        <v>No</v>
      </c>
      <c r="B3" t="str">
        <f>IF(school_nutrition_clean!M3="No","Yes","No")</f>
        <v>Yes</v>
      </c>
      <c r="C3" t="str">
        <f>IF(school_nutrition_clean!G3&lt;=0,"Yes","No")</f>
        <v>No</v>
      </c>
    </row>
    <row r="4" spans="1:3" x14ac:dyDescent="0.3">
      <c r="A4" t="str">
        <f>IF(school_nutrition_clean!I4 &gt; school_nutrition_clean!H4, "Yes", "No")</f>
        <v>No</v>
      </c>
      <c r="B4" t="str">
        <f>IF(school_nutrition_clean!M4="No","Yes","No")</f>
        <v>Yes</v>
      </c>
      <c r="C4" t="str">
        <f>IF(school_nutrition_clean!G4&lt;=0,"Yes","No")</f>
        <v>No</v>
      </c>
    </row>
    <row r="5" spans="1:3" x14ac:dyDescent="0.3">
      <c r="A5" t="str">
        <f>IF(school_nutrition_clean!I5 &gt; school_nutrition_clean!H5, "Yes", "No")</f>
        <v>No</v>
      </c>
      <c r="B5" t="str">
        <f>IF(school_nutrition_clean!M5="No","Yes","No")</f>
        <v>Yes</v>
      </c>
      <c r="C5" t="str">
        <f>IF(school_nutrition_clean!G5&lt;=0,"Yes","No")</f>
        <v>No</v>
      </c>
    </row>
    <row r="6" spans="1:3" x14ac:dyDescent="0.3">
      <c r="A6" t="str">
        <f>IF(school_nutrition_clean!I6 &gt; school_nutrition_clean!H6, "Yes", "No")</f>
        <v>No</v>
      </c>
      <c r="B6" t="str">
        <f>IF(school_nutrition_clean!M6="No","Yes","No")</f>
        <v>No</v>
      </c>
      <c r="C6" t="str">
        <f>IF(school_nutrition_clean!G6&lt;=0,"Yes","No")</f>
        <v>No</v>
      </c>
    </row>
    <row r="7" spans="1:3" x14ac:dyDescent="0.3">
      <c r="A7" t="str">
        <f>IF(school_nutrition_clean!I7 &gt; school_nutrition_clean!H7, "Yes", "No")</f>
        <v>No</v>
      </c>
      <c r="B7" t="str">
        <f>IF(school_nutrition_clean!M7="No","Yes","No")</f>
        <v>No</v>
      </c>
      <c r="C7" t="str">
        <f>IF(school_nutrition_clean!G7&lt;=0,"Yes","No")</f>
        <v>No</v>
      </c>
    </row>
    <row r="8" spans="1:3" x14ac:dyDescent="0.3">
      <c r="A8" t="str">
        <f>IF(school_nutrition_clean!I8 &gt; school_nutrition_clean!H8, "Yes", "No")</f>
        <v>No</v>
      </c>
      <c r="B8" t="str">
        <f>IF(school_nutrition_clean!M8="No","Yes","No")</f>
        <v>Yes</v>
      </c>
      <c r="C8" t="str">
        <f>IF(school_nutrition_clean!G8&lt;=0,"Yes","No")</f>
        <v>No</v>
      </c>
    </row>
    <row r="9" spans="1:3" x14ac:dyDescent="0.3">
      <c r="A9" t="str">
        <f>IF(school_nutrition_clean!I9 &gt; school_nutrition_clean!H9, "Yes", "No")</f>
        <v>No</v>
      </c>
      <c r="B9" t="str">
        <f>IF(school_nutrition_clean!M9="No","Yes","No")</f>
        <v>No</v>
      </c>
      <c r="C9" t="str">
        <f>IF(school_nutrition_clean!G9&lt;=0,"Yes","No")</f>
        <v>No</v>
      </c>
    </row>
    <row r="10" spans="1:3" x14ac:dyDescent="0.3">
      <c r="A10" t="str">
        <f>IF(school_nutrition_clean!I10 &gt; school_nutrition_clean!H10, "Yes", "No")</f>
        <v>No</v>
      </c>
      <c r="B10" t="str">
        <f>IF(school_nutrition_clean!M10="No","Yes","No")</f>
        <v>Yes</v>
      </c>
      <c r="C10" t="str">
        <f>IF(school_nutrition_clean!G10&lt;=0,"Yes","No")</f>
        <v>No</v>
      </c>
    </row>
    <row r="11" spans="1:3" x14ac:dyDescent="0.3">
      <c r="A11" t="str">
        <f>IF(school_nutrition_clean!I11 &gt; school_nutrition_clean!H11, "Yes", "No")</f>
        <v>No</v>
      </c>
      <c r="B11" t="str">
        <f>IF(school_nutrition_clean!M11="No","Yes","No")</f>
        <v>Yes</v>
      </c>
      <c r="C11" t="str">
        <f>IF(school_nutrition_clean!G11&lt;=0,"Yes","No")</f>
        <v>No</v>
      </c>
    </row>
    <row r="12" spans="1:3" x14ac:dyDescent="0.3">
      <c r="A12" t="str">
        <f>IF(school_nutrition_clean!I12 &gt; school_nutrition_clean!H12, "Yes", "No")</f>
        <v>No</v>
      </c>
      <c r="B12" t="str">
        <f>IF(school_nutrition_clean!M12="No","Yes","No")</f>
        <v>No</v>
      </c>
      <c r="C12" t="str">
        <f>IF(school_nutrition_clean!G12&lt;=0,"Yes","No")</f>
        <v>No</v>
      </c>
    </row>
    <row r="13" spans="1:3" x14ac:dyDescent="0.3">
      <c r="A13" t="str">
        <f>IF(school_nutrition_clean!I13 &gt; school_nutrition_clean!H13, "Yes", "No")</f>
        <v>No</v>
      </c>
      <c r="B13" t="str">
        <f>IF(school_nutrition_clean!M13="No","Yes","No")</f>
        <v>No</v>
      </c>
      <c r="C13" t="str">
        <f>IF(school_nutrition_clean!G13&lt;=0,"Yes","No")</f>
        <v>No</v>
      </c>
    </row>
    <row r="14" spans="1:3" x14ac:dyDescent="0.3">
      <c r="A14" t="str">
        <f>IF(school_nutrition_clean!I14 &gt; school_nutrition_clean!H14, "Yes", "No")</f>
        <v>No</v>
      </c>
      <c r="B14" t="str">
        <f>IF(school_nutrition_clean!M14="No","Yes","No")</f>
        <v>Yes</v>
      </c>
      <c r="C14" t="str">
        <f>IF(school_nutrition_clean!G14&lt;=0,"Yes","No")</f>
        <v>No</v>
      </c>
    </row>
    <row r="15" spans="1:3" x14ac:dyDescent="0.3">
      <c r="A15" t="str">
        <f>IF(school_nutrition_clean!I15 &gt; school_nutrition_clean!H15, "Yes", "No")</f>
        <v>No</v>
      </c>
      <c r="B15" t="str">
        <f>IF(school_nutrition_clean!M15="No","Yes","No")</f>
        <v>Yes</v>
      </c>
      <c r="C15" t="str">
        <f>IF(school_nutrition_clean!G15&lt;=0,"Yes","No")</f>
        <v>No</v>
      </c>
    </row>
    <row r="16" spans="1:3" x14ac:dyDescent="0.3">
      <c r="A16" t="str">
        <f>IF(school_nutrition_clean!I16 &gt; school_nutrition_clean!H16, "Yes", "No")</f>
        <v>No</v>
      </c>
      <c r="B16" t="str">
        <f>IF(school_nutrition_clean!M16="No","Yes","No")</f>
        <v>No</v>
      </c>
      <c r="C16" t="str">
        <f>IF(school_nutrition_clean!G16&lt;=0,"Yes","No")</f>
        <v>No</v>
      </c>
    </row>
    <row r="17" spans="1:3" x14ac:dyDescent="0.3">
      <c r="A17" t="str">
        <f>IF(school_nutrition_clean!I17 &gt; school_nutrition_clean!H17, "Yes", "No")</f>
        <v>No</v>
      </c>
      <c r="B17" t="str">
        <f>IF(school_nutrition_clean!M17="No","Yes","No")</f>
        <v>No</v>
      </c>
      <c r="C17" t="str">
        <f>IF(school_nutrition_clean!G17&lt;=0,"Yes","No")</f>
        <v>No</v>
      </c>
    </row>
    <row r="18" spans="1:3" x14ac:dyDescent="0.3">
      <c r="A18" t="str">
        <f>IF(school_nutrition_clean!I18 &gt; school_nutrition_clean!H18, "Yes", "No")</f>
        <v>No</v>
      </c>
      <c r="B18" t="str">
        <f>IF(school_nutrition_clean!M18="No","Yes","No")</f>
        <v>No</v>
      </c>
      <c r="C18" t="str">
        <f>IF(school_nutrition_clean!G18&lt;=0,"Yes","No")</f>
        <v>No</v>
      </c>
    </row>
    <row r="19" spans="1:3" x14ac:dyDescent="0.3">
      <c r="A19" t="str">
        <f>IF(school_nutrition_clean!I19 &gt; school_nutrition_clean!H19, "Yes", "No")</f>
        <v>No</v>
      </c>
      <c r="B19" t="str">
        <f>IF(school_nutrition_clean!M19="No","Yes","No")</f>
        <v>Yes</v>
      </c>
      <c r="C19" t="str">
        <f>IF(school_nutrition_clean!G19&lt;=0,"Yes","No")</f>
        <v>No</v>
      </c>
    </row>
    <row r="20" spans="1:3" x14ac:dyDescent="0.3">
      <c r="A20" t="str">
        <f>IF(school_nutrition_clean!I20 &gt; school_nutrition_clean!H20, "Yes", "No")</f>
        <v>No</v>
      </c>
      <c r="B20" t="str">
        <f>IF(school_nutrition_clean!M20="No","Yes","No")</f>
        <v>No</v>
      </c>
      <c r="C20" t="str">
        <f>IF(school_nutrition_clean!G20&lt;=0,"Yes","No")</f>
        <v>No</v>
      </c>
    </row>
    <row r="21" spans="1:3" x14ac:dyDescent="0.3">
      <c r="A21" t="str">
        <f>IF(school_nutrition_clean!I21 &gt; school_nutrition_clean!H21, "Yes", "No")</f>
        <v>No</v>
      </c>
      <c r="B21" t="str">
        <f>IF(school_nutrition_clean!M21="No","Yes","No")</f>
        <v>No</v>
      </c>
      <c r="C21" t="str">
        <f>IF(school_nutrition_clean!G21&lt;=0,"Yes","No")</f>
        <v>No</v>
      </c>
    </row>
    <row r="22" spans="1:3" x14ac:dyDescent="0.3">
      <c r="A22" t="str">
        <f>IF(school_nutrition_clean!I22 &gt; school_nutrition_clean!H22, "Yes", "No")</f>
        <v>No</v>
      </c>
      <c r="B22" t="str">
        <f>IF(school_nutrition_clean!M22="No","Yes","No")</f>
        <v>No</v>
      </c>
      <c r="C22" t="str">
        <f>IF(school_nutrition_clean!G22&lt;=0,"Yes","No")</f>
        <v>No</v>
      </c>
    </row>
    <row r="23" spans="1:3" x14ac:dyDescent="0.3">
      <c r="A23" t="str">
        <f>IF(school_nutrition_clean!I23 &gt; school_nutrition_clean!H23, "Yes", "No")</f>
        <v>No</v>
      </c>
      <c r="B23" t="str">
        <f>IF(school_nutrition_clean!M23="No","Yes","No")</f>
        <v>Yes</v>
      </c>
      <c r="C23" t="str">
        <f>IF(school_nutrition_clean!G23&lt;=0,"Yes","No")</f>
        <v>No</v>
      </c>
    </row>
    <row r="24" spans="1:3" x14ac:dyDescent="0.3">
      <c r="A24" t="str">
        <f>IF(school_nutrition_clean!I24 &gt; school_nutrition_clean!H24, "Yes", "No")</f>
        <v>No</v>
      </c>
      <c r="B24" t="str">
        <f>IF(school_nutrition_clean!M24="No","Yes","No")</f>
        <v>No</v>
      </c>
      <c r="C24" t="str">
        <f>IF(school_nutrition_clean!G24&lt;=0,"Yes","No")</f>
        <v>No</v>
      </c>
    </row>
    <row r="25" spans="1:3" x14ac:dyDescent="0.3">
      <c r="A25" t="str">
        <f>IF(school_nutrition_clean!I25 &gt; school_nutrition_clean!H25, "Yes", "No")</f>
        <v>No</v>
      </c>
      <c r="B25" t="str">
        <f>IF(school_nutrition_clean!M25="No","Yes","No")</f>
        <v>Yes</v>
      </c>
      <c r="C25" t="str">
        <f>IF(school_nutrition_clean!G25&lt;=0,"Yes","No")</f>
        <v>No</v>
      </c>
    </row>
    <row r="26" spans="1:3" x14ac:dyDescent="0.3">
      <c r="A26" t="str">
        <f>IF(school_nutrition_clean!I26 &gt; school_nutrition_clean!H26, "Yes", "No")</f>
        <v>No</v>
      </c>
      <c r="B26" t="str">
        <f>IF(school_nutrition_clean!M26="No","Yes","No")</f>
        <v>No</v>
      </c>
      <c r="C26" t="str">
        <f>IF(school_nutrition_clean!G26&lt;=0,"Yes","No")</f>
        <v>No</v>
      </c>
    </row>
    <row r="27" spans="1:3" x14ac:dyDescent="0.3">
      <c r="A27" t="str">
        <f>IF(school_nutrition_clean!I27 &gt; school_nutrition_clean!H27, "Yes", "No")</f>
        <v>No</v>
      </c>
      <c r="B27" t="str">
        <f>IF(school_nutrition_clean!M27="No","Yes","No")</f>
        <v>Yes</v>
      </c>
      <c r="C27" t="str">
        <f>IF(school_nutrition_clean!G27&lt;=0,"Yes","No")</f>
        <v>No</v>
      </c>
    </row>
    <row r="28" spans="1:3" x14ac:dyDescent="0.3">
      <c r="A28" t="str">
        <f>IF(school_nutrition_clean!I28 &gt; school_nutrition_clean!H28, "Yes", "No")</f>
        <v>No</v>
      </c>
      <c r="B28" t="str">
        <f>IF(school_nutrition_clean!M28="No","Yes","No")</f>
        <v>Yes</v>
      </c>
      <c r="C28" t="str">
        <f>IF(school_nutrition_clean!G28&lt;=0,"Yes","No")</f>
        <v>No</v>
      </c>
    </row>
    <row r="29" spans="1:3" x14ac:dyDescent="0.3">
      <c r="A29" t="str">
        <f>IF(school_nutrition_clean!I29 &gt; school_nutrition_clean!H29, "Yes", "No")</f>
        <v>No</v>
      </c>
      <c r="B29" t="str">
        <f>IF(school_nutrition_clean!M29="No","Yes","No")</f>
        <v>Yes</v>
      </c>
      <c r="C29" t="str">
        <f>IF(school_nutrition_clean!G29&lt;=0,"Yes","No")</f>
        <v>No</v>
      </c>
    </row>
    <row r="30" spans="1:3" x14ac:dyDescent="0.3">
      <c r="A30" t="str">
        <f>IF(school_nutrition_clean!I30 &gt; school_nutrition_clean!H30, "Yes", "No")</f>
        <v>No</v>
      </c>
      <c r="B30" t="str">
        <f>IF(school_nutrition_clean!M30="No","Yes","No")</f>
        <v>Yes</v>
      </c>
      <c r="C30" t="str">
        <f>IF(school_nutrition_clean!G30&lt;=0,"Yes","No")</f>
        <v>No</v>
      </c>
    </row>
    <row r="31" spans="1:3" x14ac:dyDescent="0.3">
      <c r="A31" t="str">
        <f>IF(school_nutrition_clean!I31 &gt; school_nutrition_clean!H31, "Yes", "No")</f>
        <v>No</v>
      </c>
      <c r="B31" t="str">
        <f>IF(school_nutrition_clean!M31="No","Yes","No")</f>
        <v>No</v>
      </c>
      <c r="C31" t="str">
        <f>IF(school_nutrition_clean!G31&lt;=0,"Yes","No")</f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50C5-8A19-4966-9995-07FC5713EC51}">
  <dimension ref="A1:B31"/>
  <sheetViews>
    <sheetView workbookViewId="0">
      <selection activeCell="B2" sqref="B2:B31"/>
    </sheetView>
  </sheetViews>
  <sheetFormatPr defaultRowHeight="14.4" x14ac:dyDescent="0.3"/>
  <cols>
    <col min="1" max="1" width="17.5546875" bestFit="1" customWidth="1"/>
    <col min="2" max="2" width="18.21875" bestFit="1" customWidth="1"/>
  </cols>
  <sheetData>
    <row r="1" spans="1:2" x14ac:dyDescent="0.3">
      <c r="A1" t="s">
        <v>86</v>
      </c>
      <c r="B1" t="s">
        <v>87</v>
      </c>
    </row>
    <row r="2" spans="1:2" x14ac:dyDescent="0.3">
      <c r="A2" s="1">
        <f>SUM(school_nutrition_clean!I2 / school_nutrition_clean!H2)</f>
        <v>0.78947368421052633</v>
      </c>
      <c r="B2" t="str">
        <f>IF(OR(A2&lt;80%, school_nutrition_clean!M2="No", school_nutrition_clean!N2="No"), "Yes","No")</f>
        <v>Yes</v>
      </c>
    </row>
    <row r="3" spans="1:2" x14ac:dyDescent="0.3">
      <c r="A3" s="1">
        <f>SUM(school_nutrition_clean!I3 / school_nutrition_clean!H3)</f>
        <v>0.90909090909090906</v>
      </c>
      <c r="B3" t="str">
        <f>IF(OR(A3&lt;80%, school_nutrition_clean!M3="No", school_nutrition_clean!N3="No"), "Yes","No")</f>
        <v>Yes</v>
      </c>
    </row>
    <row r="4" spans="1:2" x14ac:dyDescent="0.3">
      <c r="A4" s="1">
        <f>SUM(school_nutrition_clean!I4 / school_nutrition_clean!H4)</f>
        <v>0.78947368421052633</v>
      </c>
      <c r="B4" t="str">
        <f>IF(OR(A4&lt;80%, school_nutrition_clean!M4="No", school_nutrition_clean!N4="No"), "Yes","No")</f>
        <v>Yes</v>
      </c>
    </row>
    <row r="5" spans="1:2" x14ac:dyDescent="0.3">
      <c r="A5" s="1">
        <f>SUM(school_nutrition_clean!I5 / school_nutrition_clean!H5)</f>
        <v>0.95454545454545459</v>
      </c>
      <c r="B5" t="str">
        <f>IF(OR(A5&lt;80%, school_nutrition_clean!M5="No", school_nutrition_clean!N5="No"), "Yes","No")</f>
        <v>Yes</v>
      </c>
    </row>
    <row r="6" spans="1:2" x14ac:dyDescent="0.3">
      <c r="A6" s="1">
        <f>SUM(school_nutrition_clean!I6 / school_nutrition_clean!H6)</f>
        <v>0.85</v>
      </c>
      <c r="B6" t="str">
        <f>IF(OR(A6&lt;80%, school_nutrition_clean!M6="No", school_nutrition_clean!N6="No"), "Yes","No")</f>
        <v>Yes</v>
      </c>
    </row>
    <row r="7" spans="1:2" x14ac:dyDescent="0.3">
      <c r="A7" s="1">
        <f>SUM(school_nutrition_clean!I7 / school_nutrition_clean!H7)</f>
        <v>1</v>
      </c>
      <c r="B7" t="str">
        <f>IF(OR(A7&lt;80%, school_nutrition_clean!M7="No", school_nutrition_clean!N7="No"), "Yes","No")</f>
        <v>Yes</v>
      </c>
    </row>
    <row r="8" spans="1:2" x14ac:dyDescent="0.3">
      <c r="A8" s="1">
        <f>SUM(school_nutrition_clean!I8 / school_nutrition_clean!H8)</f>
        <v>0.95</v>
      </c>
      <c r="B8" t="str">
        <f>IF(OR(A8&lt;80%, school_nutrition_clean!M8="No", school_nutrition_clean!N8="No"), "Yes","No")</f>
        <v>Yes</v>
      </c>
    </row>
    <row r="9" spans="1:2" x14ac:dyDescent="0.3">
      <c r="A9" s="1">
        <f>SUM(school_nutrition_clean!I9 / school_nutrition_clean!H9)</f>
        <v>0.86363636363636365</v>
      </c>
      <c r="B9" t="str">
        <f>IF(OR(A9&lt;80%, school_nutrition_clean!M9="No", school_nutrition_clean!N9="No"), "Yes","No")</f>
        <v>Yes</v>
      </c>
    </row>
    <row r="10" spans="1:2" x14ac:dyDescent="0.3">
      <c r="A10" s="1">
        <f>SUM(school_nutrition_clean!I10 / school_nutrition_clean!H10)</f>
        <v>1</v>
      </c>
      <c r="B10" t="str">
        <f>IF(OR(A10&lt;80%, school_nutrition_clean!M10="No", school_nutrition_clean!N10="No"), "Yes","No")</f>
        <v>Yes</v>
      </c>
    </row>
    <row r="11" spans="1:2" x14ac:dyDescent="0.3">
      <c r="A11" s="1">
        <f>SUM(school_nutrition_clean!I11 / school_nutrition_clean!H11)</f>
        <v>0.8</v>
      </c>
      <c r="B11" t="str">
        <f>IF(OR(A11&lt;80%, school_nutrition_clean!M11="No", school_nutrition_clean!N11="No"), "Yes","No")</f>
        <v>Yes</v>
      </c>
    </row>
    <row r="12" spans="1:2" x14ac:dyDescent="0.3">
      <c r="A12" s="1">
        <f>SUM(school_nutrition_clean!I12 / school_nutrition_clean!H12)</f>
        <v>1</v>
      </c>
      <c r="B12" t="str">
        <f>IF(OR(A12&lt;80%, school_nutrition_clean!M12="No", school_nutrition_clean!N12="No"), "Yes","No")</f>
        <v>No</v>
      </c>
    </row>
    <row r="13" spans="1:2" x14ac:dyDescent="0.3">
      <c r="A13" s="1">
        <f>SUM(school_nutrition_clean!I13 / school_nutrition_clean!H13)</f>
        <v>0.94444444444444442</v>
      </c>
      <c r="B13" t="str">
        <f>IF(OR(A13&lt;80%, school_nutrition_clean!M13="No", school_nutrition_clean!N13="No"), "Yes","No")</f>
        <v>Yes</v>
      </c>
    </row>
    <row r="14" spans="1:2" x14ac:dyDescent="0.3">
      <c r="A14" s="1">
        <f>SUM(school_nutrition_clean!I14 / school_nutrition_clean!H14)</f>
        <v>1</v>
      </c>
      <c r="B14" t="str">
        <f>IF(OR(A14&lt;80%, school_nutrition_clean!M14="No", school_nutrition_clean!N14="No"), "Yes","No")</f>
        <v>Yes</v>
      </c>
    </row>
    <row r="15" spans="1:2" x14ac:dyDescent="0.3">
      <c r="A15" s="1">
        <f>SUM(school_nutrition_clean!I15 / school_nutrition_clean!H15)</f>
        <v>0.95454545454545459</v>
      </c>
      <c r="B15" t="str">
        <f>IF(OR(A15&lt;80%, school_nutrition_clean!M15="No", school_nutrition_clean!N15="No"), "Yes","No")</f>
        <v>Yes</v>
      </c>
    </row>
    <row r="16" spans="1:2" x14ac:dyDescent="0.3">
      <c r="A16" s="1">
        <f>SUM(school_nutrition_clean!I16 / school_nutrition_clean!H16)</f>
        <v>0.72222222222222221</v>
      </c>
      <c r="B16" t="str">
        <f>IF(OR(A16&lt;80%, school_nutrition_clean!M16="No", school_nutrition_clean!N16="No"), "Yes","No")</f>
        <v>Yes</v>
      </c>
    </row>
    <row r="17" spans="1:2" x14ac:dyDescent="0.3">
      <c r="A17" s="1">
        <f>SUM(school_nutrition_clean!I17 / school_nutrition_clean!H17)</f>
        <v>0.73684210526315785</v>
      </c>
      <c r="B17" t="str">
        <f>IF(OR(A17&lt;80%, school_nutrition_clean!M17="No", school_nutrition_clean!N17="No"), "Yes","No")</f>
        <v>Yes</v>
      </c>
    </row>
    <row r="18" spans="1:2" x14ac:dyDescent="0.3">
      <c r="A18" s="1">
        <f>SUM(school_nutrition_clean!I18 / school_nutrition_clean!H18)</f>
        <v>0.90476190476190477</v>
      </c>
      <c r="B18" t="str">
        <f>IF(OR(A18&lt;80%, school_nutrition_clean!M18="No", school_nutrition_clean!N18="No"), "Yes","No")</f>
        <v>Yes</v>
      </c>
    </row>
    <row r="19" spans="1:2" x14ac:dyDescent="0.3">
      <c r="A19" s="1">
        <f>SUM(school_nutrition_clean!I19 / school_nutrition_clean!H19)</f>
        <v>1</v>
      </c>
      <c r="B19" t="str">
        <f>IF(OR(A19&lt;80%, school_nutrition_clean!M19="No", school_nutrition_clean!N19="No"), "Yes","No")</f>
        <v>Yes</v>
      </c>
    </row>
    <row r="20" spans="1:2" x14ac:dyDescent="0.3">
      <c r="A20" s="1">
        <f>SUM(school_nutrition_clean!I20 / school_nutrition_clean!H20)</f>
        <v>0.95454545454545459</v>
      </c>
      <c r="B20" t="str">
        <f>IF(OR(A20&lt;80%, school_nutrition_clean!M20="No", school_nutrition_clean!N20="No"), "Yes","No")</f>
        <v>No</v>
      </c>
    </row>
    <row r="21" spans="1:2" x14ac:dyDescent="0.3">
      <c r="A21" s="1">
        <f>SUM(school_nutrition_clean!I21 / school_nutrition_clean!H21)</f>
        <v>0.80952380952380953</v>
      </c>
      <c r="B21" t="str">
        <f>IF(OR(A21&lt;80%, school_nutrition_clean!M21="No", school_nutrition_clean!N21="No"), "Yes","No")</f>
        <v>Yes</v>
      </c>
    </row>
    <row r="22" spans="1:2" x14ac:dyDescent="0.3">
      <c r="A22" s="1">
        <f>SUM(school_nutrition_clean!I22 / school_nutrition_clean!H22)</f>
        <v>0.95454545454545459</v>
      </c>
      <c r="B22" t="str">
        <f>IF(OR(A22&lt;80%, school_nutrition_clean!M22="No", school_nutrition_clean!N22="No"), "Yes","No")</f>
        <v>Yes</v>
      </c>
    </row>
    <row r="23" spans="1:2" x14ac:dyDescent="0.3">
      <c r="A23" s="1">
        <f>SUM(school_nutrition_clean!I23 / school_nutrition_clean!H23)</f>
        <v>0.75</v>
      </c>
      <c r="B23" t="str">
        <f>IF(OR(A23&lt;80%, school_nutrition_clean!M23="No", school_nutrition_clean!N23="No"), "Yes","No")</f>
        <v>Yes</v>
      </c>
    </row>
    <row r="24" spans="1:2" x14ac:dyDescent="0.3">
      <c r="A24" s="1">
        <f>SUM(school_nutrition_clean!I24 / school_nutrition_clean!H24)</f>
        <v>0.84210526315789469</v>
      </c>
      <c r="B24" t="str">
        <f>IF(OR(A24&lt;80%, school_nutrition_clean!M24="No", school_nutrition_clean!N24="No"), "Yes","No")</f>
        <v>Yes</v>
      </c>
    </row>
    <row r="25" spans="1:2" x14ac:dyDescent="0.3">
      <c r="A25" s="1">
        <f>SUM(school_nutrition_clean!I25 / school_nutrition_clean!H25)</f>
        <v>0.94444444444444442</v>
      </c>
      <c r="B25" t="str">
        <f>IF(OR(A25&lt;80%, school_nutrition_clean!M25="No", school_nutrition_clean!N25="No"), "Yes","No")</f>
        <v>Yes</v>
      </c>
    </row>
    <row r="26" spans="1:2" x14ac:dyDescent="0.3">
      <c r="A26" s="1">
        <f>SUM(school_nutrition_clean!I26 / school_nutrition_clean!H26)</f>
        <v>0.95</v>
      </c>
      <c r="B26" t="str">
        <f>IF(OR(A26&lt;80%, school_nutrition_clean!M26="No", school_nutrition_clean!N26="No"), "Yes","No")</f>
        <v>No</v>
      </c>
    </row>
    <row r="27" spans="1:2" x14ac:dyDescent="0.3">
      <c r="A27" s="1">
        <f>SUM(school_nutrition_clean!I27 / school_nutrition_clean!H27)</f>
        <v>0.77777777777777779</v>
      </c>
      <c r="B27" t="str">
        <f>IF(OR(A27&lt;80%, school_nutrition_clean!M27="No", school_nutrition_clean!N27="No"), "Yes","No")</f>
        <v>Yes</v>
      </c>
    </row>
    <row r="28" spans="1:2" x14ac:dyDescent="0.3">
      <c r="A28" s="1">
        <f>SUM(school_nutrition_clean!I28 / school_nutrition_clean!H28)</f>
        <v>0.76190476190476186</v>
      </c>
      <c r="B28" t="str">
        <f>IF(OR(A28&lt;80%, school_nutrition_clean!M28="No", school_nutrition_clean!N28="No"), "Yes","No")</f>
        <v>Yes</v>
      </c>
    </row>
    <row r="29" spans="1:2" x14ac:dyDescent="0.3">
      <c r="A29" s="1">
        <f>SUM(school_nutrition_clean!I29 / school_nutrition_clean!H29)</f>
        <v>0.78947368421052633</v>
      </c>
      <c r="B29" t="str">
        <f>IF(OR(A29&lt;80%, school_nutrition_clean!M29="No", school_nutrition_clean!N29="No"), "Yes","No")</f>
        <v>Yes</v>
      </c>
    </row>
    <row r="30" spans="1:2" x14ac:dyDescent="0.3">
      <c r="A30" s="1">
        <f>SUM(school_nutrition_clean!I30 / school_nutrition_clean!H30)</f>
        <v>0.72222222222222221</v>
      </c>
      <c r="B30" t="str">
        <f>IF(OR(A30&lt;80%, school_nutrition_clean!M30="No", school_nutrition_clean!N30="No"), "Yes","No")</f>
        <v>Yes</v>
      </c>
    </row>
    <row r="31" spans="1:2" x14ac:dyDescent="0.3">
      <c r="A31" s="1">
        <f>SUM(school_nutrition_clean!I31 / school_nutrition_clean!H31)</f>
        <v>0.8571428571428571</v>
      </c>
      <c r="B31" t="str">
        <f>IF(OR(A31&lt;80%, school_nutrition_clean!M31="No", school_nutrition_clean!N31="No"), "Yes","No")</f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school_nutrition_clean</vt:lpstr>
      <vt:lpstr>Validation_Check</vt:lpstr>
      <vt:lpstr>Derived_Indicators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Abhinav Verma</cp:lastModifiedBy>
  <dcterms:created xsi:type="dcterms:W3CDTF">2026-01-06T10:04:42Z</dcterms:created>
  <dcterms:modified xsi:type="dcterms:W3CDTF">2026-01-06T10:04:53Z</dcterms:modified>
</cp:coreProperties>
</file>